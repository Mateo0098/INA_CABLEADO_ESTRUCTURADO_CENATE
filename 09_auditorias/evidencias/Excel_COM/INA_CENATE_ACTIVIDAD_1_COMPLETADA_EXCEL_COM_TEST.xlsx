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teo\Downloads\PythonProject\06_excel\"/>
    </mc:Choice>
  </mc:AlternateContent>
  <xr:revisionPtr revIDLastSave="0" documentId="8_{99DD50C0-51C5-4FEA-82E8-F6EB138E8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ón técnica" sheetId="1" r:id="rId1"/>
    <sheet name="Herramientas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  <c r="B4" i="3"/>
  <c r="B3" i="3"/>
  <c r="B2" i="3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<sst xmlns="http://schemas.openxmlformats.org/spreadsheetml/2006/main" count="266" uniqueCount="174">
  <si>
    <t>Material o equipo</t>
  </si>
  <si>
    <t>Categoría o tipo</t>
  </si>
  <si>
    <t>Especificaciones técnicas</t>
  </si>
  <si>
    <t>Marca</t>
  </si>
  <si>
    <t>Modelo o referencia</t>
  </si>
  <si>
    <t>Unidad de medida</t>
  </si>
  <si>
    <t>Cantidad</t>
  </si>
  <si>
    <t>Proveedor</t>
  </si>
  <si>
    <t>Precio unitario (₡)</t>
  </si>
  <si>
    <t>Precio total (₡)</t>
  </si>
  <si>
    <t>Caja 305 m</t>
  </si>
  <si>
    <t>Unidad</t>
  </si>
  <si>
    <t>Tramo 3 m</t>
  </si>
  <si>
    <t>Puesta a tierra</t>
  </si>
  <si>
    <t>Fuente</t>
  </si>
  <si>
    <t>Herramientas</t>
  </si>
  <si>
    <t>Cable horizontal Cat 6A U/UTP</t>
  </si>
  <si>
    <t>Cableado horizontal de cobre</t>
  </si>
  <si>
    <t>U/UTP Cat 6A CMP; caja de 305 m; Ø nominal 5,8 mm. Cubierta candidata; verificar ambiente.</t>
  </si>
  <si>
    <t>Panduit</t>
  </si>
  <si>
    <t>PUP6AHD04BU-G</t>
  </si>
  <si>
    <t>No verificado localmente</t>
  </si>
  <si>
    <t>Matriz Fase 2D 2D-CU-01; modelo cobre Fase 2D</t>
  </si>
  <si>
    <t>Patch panel Cat 6A, 48 puertos</t>
  </si>
  <si>
    <t>Terminación de cobre</t>
  </si>
  <si>
    <t>48 puertos; 2RU; 19 pulgadas; punchdown.</t>
  </si>
  <si>
    <t>NK6XPPG48Y</t>
  </si>
  <si>
    <t>Panel</t>
  </si>
  <si>
    <t>Matriz Fase 2D 2D-CU-02; resultados Fase 2B</t>
  </si>
  <si>
    <t>Jack RJ45 Cat 6A Mini-Com</t>
  </si>
  <si>
    <t>Salida de usuario</t>
  </si>
  <si>
    <t>UTP; 8P8C; dos por cada área doble en el escenario adoptado.</t>
  </si>
  <si>
    <t>CJ6X88TGBU</t>
  </si>
  <si>
    <t>Matriz Fase 2D 2D-CU-03; supuesto adoptado Fase 3B</t>
  </si>
  <si>
    <t>Placa doble para dos módulos Mini-Com</t>
  </si>
  <si>
    <t>Dos posiciones; una placa por área doble.</t>
  </si>
  <si>
    <t>CFPL2WHY</t>
  </si>
  <si>
    <t>Matriz Fase 2D 2D-CU-04</t>
  </si>
  <si>
    <t>Caja de salida para placa doble</t>
  </si>
  <si>
    <t>Compatible con placa doble; tipo de montaje genérico, sujeto a arquitectura del recinto.</t>
  </si>
  <si>
    <t>Genérica académica</t>
  </si>
  <si>
    <t>Especificación preliminar; sin modelo</t>
  </si>
  <si>
    <t>Matriz Fase 2D 2D-CU-06; cantidad derivada de áreas</t>
  </si>
  <si>
    <t>Patch cord Cat 6A de usuario</t>
  </si>
  <si>
    <t>Cordón de cobre</t>
  </si>
  <si>
    <t>UTP 28 AWG; RJ45-RJ45; 7 ft.</t>
  </si>
  <si>
    <t>UTP28X7BU</t>
  </si>
  <si>
    <t>Matriz Fase 2D 2D-CU-05; fabricante</t>
  </si>
  <si>
    <t>Patch cord Cat 6A para rack</t>
  </si>
  <si>
    <t>UTP 28 AWG; RJ45-RJ45; 7 ft; capacidad pasiva, sin switches.</t>
  </si>
  <si>
    <t>Matriz Fase 2D 2D-CU-05; supuesto una terminación por enlace</t>
  </si>
  <si>
    <t>Cable exterior OS2 24F para E1</t>
  </si>
  <si>
    <t>Fibra exterior</t>
  </si>
  <si>
    <t>24 fibras OS2 indoor/outdoor para ducto; longitud de escenario E1.</t>
  </si>
  <si>
    <t>Corning</t>
  </si>
  <si>
    <t>024EUK-T3601D2M</t>
  </si>
  <si>
    <t>m de cable</t>
  </si>
  <si>
    <t>Matriz Fase 2D 2D-FO-01A; E1 asumido hacia ER-A</t>
  </si>
  <si>
    <t>Cable exterior OS2 24F para E2</t>
  </si>
  <si>
    <t>24 fibras OS2 indoor/outdoor para ducto; x adoptada = 75 m (supuesto académico).</t>
  </si>
  <si>
    <t>Matriz Fase 2D 2D-FO-01B; x=3 intervalos teóricos de 25 m</t>
  </si>
  <si>
    <t>Cable exterior OS2 24F para E3</t>
  </si>
  <si>
    <t>24 fibras OS2 indoor/outdoor para ducto; y adoptada = 50 m (supuesto académico).</t>
  </si>
  <si>
    <t>Matriz Fase 2D 2D-FO-01C; y=2 intervalos teóricos de 25 m</t>
  </si>
  <si>
    <t>Cable vertical OS2 12F — edificio A</t>
  </si>
  <si>
    <t>Backbone vertical</t>
  </si>
  <si>
    <t>12 fibras OS2 OFNR; Ø nominal 6,1 mm; longitudes y reserva según escenario.</t>
  </si>
  <si>
    <t>012E81-33131-24</t>
  </si>
  <si>
    <t>Matriz Fase 2D 2D-FO-02A; memoria Fase 2D</t>
  </si>
  <si>
    <t>Cable vertical OS2 12F — edificio B</t>
  </si>
  <si>
    <t>Matriz Fase 2D 2D-FO-02B; memoria Fase 2D</t>
  </si>
  <si>
    <t>Cassette CCH preterminado 12F</t>
  </si>
  <si>
    <t>Terminación óptica</t>
  </si>
  <si>
    <t>12F LC dúplex UPC OS2; pigtails/protectores del conjunto integrados.</t>
  </si>
  <si>
    <t>CCH-CS12-A9-P00RE</t>
  </si>
  <si>
    <t>Cassette</t>
  </si>
  <si>
    <t>Matriz Fase 2D 2D-FO-03; D-015</t>
  </si>
  <si>
    <t>Cassette CCH preterminado 24F</t>
  </si>
  <si>
    <t>24F LC dúplex UPC OS2; componentes de terminación integrados.</t>
  </si>
  <si>
    <t>CCH-CS24-A9-P00RE</t>
  </si>
  <si>
    <t>Matriz Fase 2D 2D-FO-04; D-015</t>
  </si>
  <si>
    <t>Housing óptico CCH 1U</t>
  </si>
  <si>
    <t>Distribución óptica</t>
  </si>
  <si>
    <t>1U; dos posiciones CCH; once TR y ER principal.</t>
  </si>
  <si>
    <t>CCH-01U</t>
  </si>
  <si>
    <t>Matriz Fase 2D 2D-FO-05; ER-P sujeto a espacio</t>
  </si>
  <si>
    <t>Housing óptico CCH 3U</t>
  </si>
  <si>
    <t>3U; seis posiciones CCH; asignación para ER-A.</t>
  </si>
  <si>
    <t>CCH-03U</t>
  </si>
  <si>
    <t>Matriz Fase 2D 2D-FO-06</t>
  </si>
  <si>
    <t>Housing óptico CCH 4U</t>
  </si>
  <si>
    <t>4U; doce posiciones CCH; asignación para ER-B.</t>
  </si>
  <si>
    <t>CCH-04U</t>
  </si>
  <si>
    <t>Matriz Fase 2D 2D-FO-07</t>
  </si>
  <si>
    <t>Patch cord óptico OS2 LC/UPC dúplex</t>
  </si>
  <si>
    <t>Cordón de fibra</t>
  </si>
  <si>
    <t>LC/UPC dúplex a LC/UPC dúplex; 3 m; un circuito dúplex por enlace en ambos extremos.</t>
  </si>
  <si>
    <t>040402R5120003M</t>
  </si>
  <si>
    <t>Matriz Fase 2D 2D-FO-08; supuesto 1 circuito/enlace × 2 extremos</t>
  </si>
  <si>
    <t>Gabinete de telecomunicaciones 42U</t>
  </si>
  <si>
    <t>Rack</t>
  </si>
  <si>
    <t>19 pulgadas; 600 × 1 070 mm; capacidad de equipos activos pendiente.</t>
  </si>
  <si>
    <t>APC / Schneider Electric</t>
  </si>
  <si>
    <t>AR3100B2</t>
  </si>
  <si>
    <t>Matriz Fase 2D 2D-RK-01; cantidad propuesta</t>
  </si>
  <si>
    <t>Organizador horizontal de cobre 1U</t>
  </si>
  <si>
    <t>Gestión de cable</t>
  </si>
  <si>
    <t>19 pulgadas; horizontal; uno por patch panel.</t>
  </si>
  <si>
    <t>AR8425A</t>
  </si>
  <si>
    <t>Matriz Fase 2D 2D-RK-02</t>
  </si>
  <si>
    <t>Organizador horizontal óptico 1U</t>
  </si>
  <si>
    <t>Horizontal; uno por housing contabilizado.</t>
  </si>
  <si>
    <t>Matriz Fase 2D 2D-RK-03</t>
  </si>
  <si>
    <t>Conjunto de equipotencialidad para rack</t>
  </si>
  <si>
    <t>Especificación genérica; compatible con rack y sistema eléctrico institucional; referencia por seleccionar.</t>
  </si>
  <si>
    <t>Sin modelo; sujeto a diseño eléctrico</t>
  </si>
  <si>
    <t>Conjunto</t>
  </si>
  <si>
    <t>Matriz Fase 2D 2D-RK-04; cantidad por racks propuestos</t>
  </si>
  <si>
    <t>Bandeja portacables perforada</t>
  </si>
  <si>
    <t>Canalización interior</t>
  </si>
  <si>
    <t>100 × 50 mm; tramo de 3 m; sección preliminar genérica; ocupación, soportes y accesorios por validar.</t>
  </si>
  <si>
    <t>Sección preliminar 100×50 mm</t>
  </si>
  <si>
    <t>Memoria Fase 2D; selección dimensional preliminar Fase 3B</t>
  </si>
  <si>
    <t>Tubería de protección para dos cables Cat 6A</t>
  </si>
  <si>
    <t>PVC telecomunicaciones; diámetro nominal 25 mm; tramos de 3 m; verificar diámetro interior y ocupación con ficha final.</t>
  </si>
  <si>
    <t>Ø nominal 25 mm; preliminar</t>
  </si>
  <si>
    <t>Matriz Fase 2D 2D-CA-02; memoria Fase 2D; selección preliminar Fase 3B</t>
  </si>
  <si>
    <t>Ducto exterior nuevo para fibra</t>
  </si>
  <si>
    <t>Canalización exterior</t>
  </si>
  <si>
    <t>Ducto telecomunicaciones Ø nominal 50 mm; 50 m propuestos; ocupación final según diámetro exterior de cables.</t>
  </si>
  <si>
    <t>Ø nominal 50 mm; preliminar</t>
  </si>
  <si>
    <t>m de ducto</t>
  </si>
  <si>
    <t>Matriz Fase 2D 2D-CA-05; ruta/destino aún por validar</t>
  </si>
  <si>
    <t>Posiciones de cajas o registros exteriores</t>
  </si>
  <si>
    <t>Infraestructura exterior</t>
  </si>
  <si>
    <t>5 posiciones teóricas en tramo existente + 1 en tramo nuevo; no equivale a compra de seis cajas.</t>
  </si>
  <si>
    <t>No aplica</t>
  </si>
  <si>
    <t>Requiere inspección de sitio</t>
  </si>
  <si>
    <t>Posición teórica</t>
  </si>
  <si>
    <t>Matriz Fase 2D 2D-CA-06; referencia de 25 m no normativa</t>
  </si>
  <si>
    <t>Etiquetas para identificar enlaces de cobre</t>
  </si>
  <si>
    <t>Consumible de identificación</t>
  </si>
  <si>
    <t>Etiquetas compatibles con cableado; dos por enlace como supuesto (un extremo en cada terminación); genérico.</t>
  </si>
  <si>
    <t>Sin modelo seleccionado</t>
  </si>
  <si>
    <t>Etiqueta</t>
  </si>
  <si>
    <t>D-011 sistema de identificación; supuesto 2 etiquetas/enlace</t>
  </si>
  <si>
    <t>Pigtails LC/UPC comprados por separado</t>
  </si>
  <si>
    <t>No comprar por separado mientras se mantenga el cassette preterminado con terminaciones integradas.</t>
  </si>
  <si>
    <t>Integrados en cassettes CCH</t>
  </si>
  <si>
    <t>Matriz Fase 2D 2D-FO-09; control de no duplicación</t>
  </si>
  <si>
    <t>Adaptadores LC dúplex comprados por separado</t>
  </si>
  <si>
    <t>No comprar por separado mientras se mantenga el cassette con adaptadores integrados.</t>
  </si>
  <si>
    <t>Matriz Fase 2D 2D-FO-10; control de no duplicación</t>
  </si>
  <si>
    <t>CANTIDADES DE MATERIALES — SIN COSTOS</t>
  </si>
  <si>
    <t>ADVERTENCIA DE ESCENARIO — NO ES MEDICIÓN DE CAMPO</t>
  </si>
  <si>
    <t>Adoptados para el ejercicio: 16 áreas dobles por laboratorio, 2 RJ45 por área, 1 TR por piso, reserva de cobre de 3 m/enlace y 5 % de desperdicio. Geometría y recorridos internos son supuestos Fase 2D.</t>
  </si>
  <si>
    <t>E1 usa 145 m de ducto reportado + 50 m propuestos y suma 16 m internos/reservas antes del 5 %. E2 adopta x=75 m (3 intervalos teóricos de 25 m); E3 adopta y=50 m (2 intervalos). x/y no son mediciones; los esquemas no están a escala y 25 m no es norma.</t>
  </si>
  <si>
    <t>Cable exterior resultante del escenario: E1 221,55 m; E2 247,8 m; E3 69,3 m. Fibra vertical OS2 12F: A 89,25 m; B 194,775 m. No confundir metros de ducto con metros de cable.</t>
  </si>
  <si>
    <t>Canalización genérica preliminar: bandeja 100×50 mm en tramos de 3 m; derivaciones PVC nominal 25 mm para dos Cat 6A Ø5,8 mm; ducto exterior nominal 50 mm. Confirmar diámetros interiores, ocupación, soportes, accesorios y trazado con fichas finales.</t>
  </si>
  <si>
    <t>Fibra activa: 1 circuito LC dúplex por cada uno de 11 enlaces verticales y 3 exteriores; 2 patch cords por enlace, uno por extremo (28 unidades). No se iluminan todas las fibras. Pigtails/adaptadores separados = 0 porque se consideran integrados en los cassettes.</t>
  </si>
  <si>
    <t>I/J quedan vacías. La fórmula monetaria J43 del original se elimina solo en esta copia y el rótulo se sustituye por ‘CANTIDADES SIN COSTOS’; el original permanece intacto. Proveedores locales no verificados. Contenido preparado con asistencia de IA; revisión y comprensión del estudiante requeridas.</t>
  </si>
  <si>
    <t>Guía pasacables/juego de tiro (reutilizable; 1 juego)</t>
  </si>
  <si>
    <t>Soportes de bobina (reutilizables; unidades)</t>
  </si>
  <si>
    <t>Herramientas de impacto compatibles Cat 6A (reutilizables; unidades)</t>
  </si>
  <si>
    <t>Juegos de cortador/pelador de cobre (reutilizables; juegos)</t>
  </si>
  <si>
    <t>Fusionadora para fibra OS2 (equipo reutilizable compartido)</t>
  </si>
  <si>
    <t>Cortadora de precisión y peladora de fibra (juego reutilizable)</t>
  </si>
  <si>
    <t>Fuente y medidor óptico OS2 (juego reutilizable)</t>
  </si>
  <si>
    <t>OTDR compatible con OS2 (equipo reutilizable; sujeto a práctica)</t>
  </si>
  <si>
    <t>Certificador Cat 6A con adaptadores de enlace permanente (equipo reutilizable)</t>
  </si>
  <si>
    <t>Etiquetadora (equipo reutilizable; etiquetas son consumible)</t>
  </si>
  <si>
    <t>Herramientas de rack y nivel (juego reutilizable)</t>
  </si>
  <si>
    <t>Lubricante de tiro: material consumible, no herramienta; cuantificar según cable, ducto y método</t>
  </si>
  <si>
    <t>Variable; 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</si>
</sst>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\ #,##0"/>
  </numFmts>
  <fonts count="7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theme="1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9F6E9"/>
      </patternFill>
    </fill>
    <fill>
      <patternFill patternType="solid">
        <fgColor rgb="FFE7F3F6"/>
      </patternFill>
    </fill>
    <fill>
      <patternFill patternType="solid">
        <fgColor rgb="FFF2F7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3" formatCode="#,##0"/>
      <fill>
        <patternFill patternType="solid">
          <fgColor indexed="64"/>
          <bgColor rgb="FFE9F6E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tizacionTecnicaEjemplo" displayName="CotizacionTecnicaEjemplo" ref="A1:K41" totalsRowShown="0">
  <tableColumns count="11">
    <tableColumn id="1" xr3:uid="{00000000-0010-0000-0000-000001000000}" name="Material o equipo"/>
    <tableColumn id="2" xr3:uid="{00000000-0010-0000-0000-000002000000}" name="Categoría o tipo"/>
    <tableColumn id="3" xr3:uid="{00000000-0010-0000-0000-000003000000}" name="Especificaciones técnicas"/>
    <tableColumn id="4" xr3:uid="{00000000-0010-0000-0000-000004000000}" name="Marca"/>
    <tableColumn id="5" xr3:uid="{00000000-0010-0000-0000-000005000000}" name="Modelo o referencia"/>
    <tableColumn id="6" xr3:uid="{00000000-0010-0000-0000-000006000000}" name="Unidad de medida"/>
    <tableColumn id="7" xr3:uid="{00000000-0010-0000-0000-000007000000}" name="Cantidad"/>
    <tableColumn id="8" xr3:uid="{00000000-0010-0000-0000-000008000000}" name="Proveedor"/>
    <tableColumn id="9" xr3:uid="{00000000-0010-0000-0000-000009000000}" name="Precio unitario (₡)"/>
    <tableColumn id="10" xr3:uid="{00000000-0010-0000-0000-00000A000000}" name="Precio total (₡)"/>
    <tableColumn id="12" xr3:uid="{635344C2-7E25-4E84-A949-0E308671C1D3}" name="Fu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36" activePane="bottomLeft" state="frozen"/>
      <selection pane="bottomLeft" activeCell="A51" sqref="A51:K51"/>
    </sheetView>
  </sheetViews>
  <sheetFormatPr baseColWidth="10" defaultColWidth="9" defaultRowHeight="14.25"/>
  <cols>
    <col min="1" max="1" width="24" customWidth="1"/>
    <col min="2" max="2" width="23" customWidth="1"/>
    <col min="3" max="3" width="55" customWidth="1"/>
    <col min="4" max="4" width="23" customWidth="1"/>
    <col min="5" max="5" width="27" customWidth="1"/>
    <col min="6" max="6" width="17" customWidth="1"/>
    <col min="7" max="7" width="12" customWidth="1"/>
    <col min="8" max="8" width="25" customWidth="1"/>
    <col min="9" max="9" width="19" customWidth="1"/>
    <col min="10" max="10" width="20" customWidth="1"/>
    <col min="11" max="11" width="18.5" customWidth="1"/>
  </cols>
  <sheetData>
    <row r="1" spans="1:11" ht="36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1" t="s">
        <v>9</v>
      </c>
      <c r="K1" s="1" t="s">
        <v>14</v>
      </c>
    </row>
    <row r="2" spans="1:11" ht="41.1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10</v>
      </c>
      <c r="G2" s="5">
        <f>ROUNDUP(22428/305,0)+ROUNDUP(47028.24/305,0)</f>
        <v>229</v>
      </c>
      <c r="H2" s="4" t="s">
        <v>21</v>
      </c>
      <c r="I2" s="6"/>
      <c r="J2" s="7"/>
      <c r="K2" s="5" t="s">
        <v>22</v>
      </c>
    </row>
    <row r="3" spans="1:11" ht="41.1" customHeight="1">
      <c r="A3" s="8" t="s">
        <v>23</v>
      </c>
      <c r="B3" s="8" t="s">
        <v>24</v>
      </c>
      <c r="C3" s="8" t="s">
        <v>25</v>
      </c>
      <c r="D3" s="8" t="s">
        <v>19</v>
      </c>
      <c r="E3" s="8" t="s">
        <v>26</v>
      </c>
      <c r="F3" s="8" t="s">
        <v>27</v>
      </c>
      <c r="G3" s="5">
        <f>4*4+5*7</f>
        <v>51</v>
      </c>
      <c r="H3" s="9" t="s">
        <v>21</v>
      </c>
      <c r="I3" s="6"/>
      <c r="J3" s="7"/>
      <c r="K3" s="5" t="s">
        <v>28</v>
      </c>
    </row>
    <row r="4" spans="1:11" ht="41.1" customHeight="1">
      <c r="A4" s="3" t="s">
        <v>29</v>
      </c>
      <c r="B4" s="3" t="s">
        <v>30</v>
      </c>
      <c r="C4" s="3" t="s">
        <v>31</v>
      </c>
      <c r="D4" s="3" t="s">
        <v>19</v>
      </c>
      <c r="E4" s="3" t="s">
        <v>32</v>
      </c>
      <c r="F4" s="3" t="s">
        <v>11</v>
      </c>
      <c r="G4" s="5">
        <f>(4*5+7*6)*16*2</f>
        <v>1984</v>
      </c>
      <c r="H4" s="4" t="s">
        <v>21</v>
      </c>
      <c r="I4" s="6"/>
      <c r="J4" s="7"/>
      <c r="K4" s="5" t="s">
        <v>33</v>
      </c>
    </row>
    <row r="5" spans="1:11" ht="41.1" customHeight="1">
      <c r="A5" s="8" t="s">
        <v>34</v>
      </c>
      <c r="B5" s="8" t="s">
        <v>30</v>
      </c>
      <c r="C5" s="8" t="s">
        <v>35</v>
      </c>
      <c r="D5" s="8" t="s">
        <v>19</v>
      </c>
      <c r="E5" s="8" t="s">
        <v>36</v>
      </c>
      <c r="F5" s="8" t="s">
        <v>11</v>
      </c>
      <c r="G5" s="5">
        <f>(4*5+7*6)*16</f>
        <v>992</v>
      </c>
      <c r="H5" s="9" t="s">
        <v>21</v>
      </c>
      <c r="I5" s="6"/>
      <c r="J5" s="7"/>
      <c r="K5" s="5" t="s">
        <v>37</v>
      </c>
    </row>
    <row r="6" spans="1:11" ht="41.1" customHeight="1">
      <c r="A6" s="3" t="s">
        <v>38</v>
      </c>
      <c r="B6" s="3" t="s">
        <v>30</v>
      </c>
      <c r="C6" s="3" t="s">
        <v>39</v>
      </c>
      <c r="D6" s="3" t="s">
        <v>40</v>
      </c>
      <c r="E6" s="3" t="s">
        <v>41</v>
      </c>
      <c r="F6" s="3" t="s">
        <v>11</v>
      </c>
      <c r="G6" s="5">
        <f>(4*5+7*6)*16</f>
        <v>992</v>
      </c>
      <c r="H6" s="4" t="s">
        <v>21</v>
      </c>
      <c r="I6" s="6"/>
      <c r="J6" s="7"/>
      <c r="K6" s="5" t="s">
        <v>42</v>
      </c>
    </row>
    <row r="7" spans="1:11" ht="41.1" customHeight="1">
      <c r="A7" s="8" t="s">
        <v>43</v>
      </c>
      <c r="B7" s="8" t="s">
        <v>44</v>
      </c>
      <c r="C7" s="8" t="s">
        <v>45</v>
      </c>
      <c r="D7" s="8" t="s">
        <v>19</v>
      </c>
      <c r="E7" s="8" t="s">
        <v>46</v>
      </c>
      <c r="F7" s="8" t="s">
        <v>11</v>
      </c>
      <c r="G7" s="5">
        <f>(4*5+7*6)*16*2</f>
        <v>1984</v>
      </c>
      <c r="H7" s="9" t="s">
        <v>21</v>
      </c>
      <c r="I7" s="6"/>
      <c r="J7" s="7"/>
      <c r="K7" s="5" t="s">
        <v>47</v>
      </c>
    </row>
    <row r="8" spans="1:11" ht="41.1" customHeight="1">
      <c r="A8" s="3" t="s">
        <v>48</v>
      </c>
      <c r="B8" s="3" t="s">
        <v>44</v>
      </c>
      <c r="C8" s="3" t="s">
        <v>49</v>
      </c>
      <c r="D8" s="3" t="s">
        <v>19</v>
      </c>
      <c r="E8" s="3" t="s">
        <v>46</v>
      </c>
      <c r="F8" s="3" t="s">
        <v>11</v>
      </c>
      <c r="G8" s="5">
        <f>(4*5+7*6)*16*2</f>
        <v>1984</v>
      </c>
      <c r="H8" s="4" t="s">
        <v>21</v>
      </c>
      <c r="I8" s="6"/>
      <c r="J8" s="7"/>
      <c r="K8" s="5" t="s">
        <v>50</v>
      </c>
    </row>
    <row r="9" spans="1:11" ht="41.1" customHeight="1">
      <c r="A9" s="8" t="s">
        <v>51</v>
      </c>
      <c r="B9" s="8" t="s">
        <v>52</v>
      </c>
      <c r="C9" s="8" t="s">
        <v>53</v>
      </c>
      <c r="D9" s="8" t="s">
        <v>54</v>
      </c>
      <c r="E9" s="8" t="s">
        <v>55</v>
      </c>
      <c r="F9" s="8" t="s">
        <v>56</v>
      </c>
      <c r="G9" s="5">
        <f>(145+50+2*(3+5))*1.05</f>
        <v>221.55</v>
      </c>
      <c r="H9" s="9" t="s">
        <v>21</v>
      </c>
      <c r="I9" s="6"/>
      <c r="J9" s="7"/>
      <c r="K9" s="5" t="s">
        <v>57</v>
      </c>
    </row>
    <row r="10" spans="1:11" ht="41.1" customHeight="1">
      <c r="A10" s="3" t="s">
        <v>58</v>
      </c>
      <c r="B10" s="3" t="s">
        <v>52</v>
      </c>
      <c r="C10" s="3" t="s">
        <v>59</v>
      </c>
      <c r="D10" s="3" t="s">
        <v>54</v>
      </c>
      <c r="E10" s="3" t="s">
        <v>55</v>
      </c>
      <c r="F10" s="3" t="s">
        <v>56</v>
      </c>
      <c r="G10" s="5">
        <f>(145+75+16)*1.05</f>
        <v>247.8</v>
      </c>
      <c r="H10" s="4" t="s">
        <v>21</v>
      </c>
      <c r="I10" s="6"/>
      <c r="J10" s="7"/>
      <c r="K10" s="5" t="s">
        <v>60</v>
      </c>
    </row>
    <row r="11" spans="1:11" ht="41.1" customHeight="1">
      <c r="A11" s="8" t="s">
        <v>61</v>
      </c>
      <c r="B11" s="8" t="s">
        <v>52</v>
      </c>
      <c r="C11" s="8" t="s">
        <v>62</v>
      </c>
      <c r="D11" s="8" t="s">
        <v>54</v>
      </c>
      <c r="E11" s="8" t="s">
        <v>55</v>
      </c>
      <c r="F11" s="8" t="s">
        <v>56</v>
      </c>
      <c r="G11" s="5">
        <f>(50+16)*1.05</f>
        <v>69.3</v>
      </c>
      <c r="H11" s="9" t="s">
        <v>21</v>
      </c>
      <c r="I11" s="6"/>
      <c r="J11" s="7"/>
      <c r="K11" s="5" t="s">
        <v>63</v>
      </c>
    </row>
    <row r="12" spans="1:11" ht="41.1" customHeight="1">
      <c r="A12" s="3" t="s">
        <v>64</v>
      </c>
      <c r="B12" s="3" t="s">
        <v>65</v>
      </c>
      <c r="C12" s="3" t="s">
        <v>66</v>
      </c>
      <c r="D12" s="3" t="s">
        <v>54</v>
      </c>
      <c r="E12" s="3" t="s">
        <v>67</v>
      </c>
      <c r="F12" s="3" t="s">
        <v>56</v>
      </c>
      <c r="G12" s="5">
        <f>(16+19.5+23+26.5)*1.05</f>
        <v>89.25</v>
      </c>
      <c r="H12" s="4" t="s">
        <v>21</v>
      </c>
      <c r="I12" s="6"/>
      <c r="J12" s="7"/>
      <c r="K12" s="5" t="s">
        <v>68</v>
      </c>
    </row>
    <row r="13" spans="1:11" ht="41.1" customHeight="1">
      <c r="A13" s="8" t="s">
        <v>69</v>
      </c>
      <c r="B13" s="8" t="s">
        <v>65</v>
      </c>
      <c r="C13" s="8" t="s">
        <v>66</v>
      </c>
      <c r="D13" s="8" t="s">
        <v>54</v>
      </c>
      <c r="E13" s="8" t="s">
        <v>67</v>
      </c>
      <c r="F13" s="8" t="s">
        <v>56</v>
      </c>
      <c r="G13" s="5">
        <f>(16+19.5+23+26.5+30+33.5+37)*1.05</f>
        <v>194.77500000000001</v>
      </c>
      <c r="H13" s="9" t="s">
        <v>21</v>
      </c>
      <c r="I13" s="6"/>
      <c r="J13" s="7"/>
      <c r="K13" s="5" t="s">
        <v>70</v>
      </c>
    </row>
    <row r="14" spans="1:11" ht="41.1" customHeight="1">
      <c r="A14" s="3" t="s">
        <v>71</v>
      </c>
      <c r="B14" s="3" t="s">
        <v>72</v>
      </c>
      <c r="C14" s="3" t="s">
        <v>73</v>
      </c>
      <c r="D14" s="3" t="s">
        <v>54</v>
      </c>
      <c r="E14" s="3" t="s">
        <v>74</v>
      </c>
      <c r="F14" s="3" t="s">
        <v>75</v>
      </c>
      <c r="G14" s="5">
        <f>(4+7)*2</f>
        <v>22</v>
      </c>
      <c r="H14" s="4" t="s">
        <v>21</v>
      </c>
      <c r="I14" s="6"/>
      <c r="J14" s="7"/>
      <c r="K14" s="5" t="s">
        <v>76</v>
      </c>
    </row>
    <row r="15" spans="1:11" ht="41.1" customHeight="1">
      <c r="A15" s="8" t="s">
        <v>77</v>
      </c>
      <c r="B15" s="8" t="s">
        <v>72</v>
      </c>
      <c r="C15" s="8" t="s">
        <v>78</v>
      </c>
      <c r="D15" s="8" t="s">
        <v>54</v>
      </c>
      <c r="E15" s="8" t="s">
        <v>79</v>
      </c>
      <c r="F15" s="8" t="s">
        <v>75</v>
      </c>
      <c r="G15" s="5">
        <f>3*2</f>
        <v>6</v>
      </c>
      <c r="H15" s="9" t="s">
        <v>21</v>
      </c>
      <c r="I15" s="6"/>
      <c r="J15" s="7"/>
      <c r="K15" s="5" t="s">
        <v>80</v>
      </c>
    </row>
    <row r="16" spans="1:11" ht="41.1" customHeight="1">
      <c r="A16" s="3" t="s">
        <v>81</v>
      </c>
      <c r="B16" s="3" t="s">
        <v>82</v>
      </c>
      <c r="C16" s="3" t="s">
        <v>83</v>
      </c>
      <c r="D16" s="3" t="s">
        <v>54</v>
      </c>
      <c r="E16" s="3" t="s">
        <v>84</v>
      </c>
      <c r="F16" s="3" t="s">
        <v>11</v>
      </c>
      <c r="G16" s="5">
        <f>11+1</f>
        <v>12</v>
      </c>
      <c r="H16" s="4" t="s">
        <v>21</v>
      </c>
      <c r="I16" s="6"/>
      <c r="J16" s="7"/>
      <c r="K16" s="5" t="s">
        <v>85</v>
      </c>
    </row>
    <row r="17" spans="1:11" ht="41.1" customHeight="1">
      <c r="A17" s="8" t="s">
        <v>86</v>
      </c>
      <c r="B17" s="8" t="s">
        <v>82</v>
      </c>
      <c r="C17" s="8" t="s">
        <v>87</v>
      </c>
      <c r="D17" s="8" t="s">
        <v>54</v>
      </c>
      <c r="E17" s="8" t="s">
        <v>88</v>
      </c>
      <c r="F17" s="8" t="s">
        <v>11</v>
      </c>
      <c r="G17" s="5">
        <f>1</f>
        <v>1</v>
      </c>
      <c r="H17" s="9" t="s">
        <v>21</v>
      </c>
      <c r="I17" s="6"/>
      <c r="J17" s="7"/>
      <c r="K17" s="5" t="s">
        <v>89</v>
      </c>
    </row>
    <row r="18" spans="1:11" ht="41.1" customHeight="1">
      <c r="A18" s="3" t="s">
        <v>90</v>
      </c>
      <c r="B18" s="3" t="s">
        <v>82</v>
      </c>
      <c r="C18" s="3" t="s">
        <v>91</v>
      </c>
      <c r="D18" s="3" t="s">
        <v>54</v>
      </c>
      <c r="E18" s="3" t="s">
        <v>92</v>
      </c>
      <c r="F18" s="3" t="s">
        <v>11</v>
      </c>
      <c r="G18" s="5">
        <f>1</f>
        <v>1</v>
      </c>
      <c r="H18" s="4" t="s">
        <v>21</v>
      </c>
      <c r="I18" s="6"/>
      <c r="J18" s="7"/>
      <c r="K18" s="5" t="s">
        <v>93</v>
      </c>
    </row>
    <row r="19" spans="1:11" ht="41.1" customHeight="1">
      <c r="A19" s="8" t="s">
        <v>94</v>
      </c>
      <c r="B19" s="8" t="s">
        <v>95</v>
      </c>
      <c r="C19" s="8" t="s">
        <v>96</v>
      </c>
      <c r="D19" s="8" t="s">
        <v>54</v>
      </c>
      <c r="E19" s="8" t="s">
        <v>97</v>
      </c>
      <c r="F19" s="8" t="s">
        <v>11</v>
      </c>
      <c r="G19" s="5">
        <f>(11+3)*2</f>
        <v>28</v>
      </c>
      <c r="H19" s="9" t="s">
        <v>21</v>
      </c>
      <c r="I19" s="6"/>
      <c r="J19" s="7"/>
      <c r="K19" s="5" t="s">
        <v>98</v>
      </c>
    </row>
    <row r="20" spans="1:11" ht="41.1" customHeight="1">
      <c r="A20" s="3" t="s">
        <v>99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11</v>
      </c>
      <c r="G20" s="5">
        <f>11+2</f>
        <v>13</v>
      </c>
      <c r="H20" s="4" t="s">
        <v>21</v>
      </c>
      <c r="I20" s="6"/>
      <c r="J20" s="7"/>
      <c r="K20" s="5" t="s">
        <v>104</v>
      </c>
    </row>
    <row r="21" spans="1:11" ht="41.1" customHeight="1">
      <c r="A21" s="8" t="s">
        <v>105</v>
      </c>
      <c r="B21" s="8" t="s">
        <v>106</v>
      </c>
      <c r="C21" s="8" t="s">
        <v>107</v>
      </c>
      <c r="D21" s="8" t="s">
        <v>102</v>
      </c>
      <c r="E21" s="8" t="s">
        <v>108</v>
      </c>
      <c r="F21" s="8" t="s">
        <v>11</v>
      </c>
      <c r="G21" s="5">
        <f>4*4+5*7</f>
        <v>51</v>
      </c>
      <c r="H21" s="9" t="s">
        <v>21</v>
      </c>
      <c r="I21" s="6"/>
      <c r="J21" s="7"/>
      <c r="K21" s="5" t="s">
        <v>109</v>
      </c>
    </row>
    <row r="22" spans="1:11" ht="41.1" customHeight="1">
      <c r="A22" s="3" t="s">
        <v>110</v>
      </c>
      <c r="B22" s="3" t="s">
        <v>106</v>
      </c>
      <c r="C22" s="3" t="s">
        <v>111</v>
      </c>
      <c r="D22" s="3" t="s">
        <v>102</v>
      </c>
      <c r="E22" s="3" t="s">
        <v>108</v>
      </c>
      <c r="F22" s="3" t="s">
        <v>11</v>
      </c>
      <c r="G22" s="5">
        <f>12+1+1</f>
        <v>14</v>
      </c>
      <c r="H22" s="4" t="s">
        <v>21</v>
      </c>
      <c r="I22" s="6"/>
      <c r="J22" s="7"/>
      <c r="K22" s="5" t="s">
        <v>112</v>
      </c>
    </row>
    <row r="23" spans="1:11" ht="41.1" customHeight="1">
      <c r="A23" s="8" t="s">
        <v>113</v>
      </c>
      <c r="B23" s="8" t="s">
        <v>13</v>
      </c>
      <c r="C23" s="8" t="s">
        <v>114</v>
      </c>
      <c r="D23" s="8" t="s">
        <v>40</v>
      </c>
      <c r="E23" s="8" t="s">
        <v>115</v>
      </c>
      <c r="F23" s="8" t="s">
        <v>116</v>
      </c>
      <c r="G23" s="5">
        <f>11+2</f>
        <v>13</v>
      </c>
      <c r="H23" s="9" t="s">
        <v>21</v>
      </c>
      <c r="I23" s="6"/>
      <c r="J23" s="7"/>
      <c r="K23" s="5" t="s">
        <v>117</v>
      </c>
    </row>
    <row r="24" spans="1:11" ht="41.1" customHeight="1">
      <c r="A24" s="3" t="s">
        <v>118</v>
      </c>
      <c r="B24" s="3" t="s">
        <v>119</v>
      </c>
      <c r="C24" s="3" t="s">
        <v>120</v>
      </c>
      <c r="D24" s="3" t="s">
        <v>40</v>
      </c>
      <c r="E24" s="3" t="s">
        <v>121</v>
      </c>
      <c r="F24" s="3" t="s">
        <v>12</v>
      </c>
      <c r="G24" s="5">
        <f>ROUNDUP((472+892.5)*1.05/3,0)</f>
        <v>478</v>
      </c>
      <c r="H24" s="4" t="s">
        <v>21</v>
      </c>
      <c r="I24" s="6"/>
      <c r="J24" s="7"/>
      <c r="K24" s="5" t="s">
        <v>122</v>
      </c>
    </row>
    <row r="25" spans="1:11" ht="41.1" customHeight="1">
      <c r="A25" s="8" t="s">
        <v>123</v>
      </c>
      <c r="B25" s="8" t="s">
        <v>119</v>
      </c>
      <c r="C25" s="8" t="s">
        <v>124</v>
      </c>
      <c r="D25" s="8" t="s">
        <v>40</v>
      </c>
      <c r="E25" s="8" t="s">
        <v>125</v>
      </c>
      <c r="F25" s="8" t="s">
        <v>12</v>
      </c>
      <c r="G25" s="5">
        <f>ROUNDUP(992*3*1.05/3,0)</f>
        <v>1042</v>
      </c>
      <c r="H25" s="9" t="s">
        <v>21</v>
      </c>
      <c r="I25" s="6"/>
      <c r="J25" s="7"/>
      <c r="K25" s="5" t="s">
        <v>126</v>
      </c>
    </row>
    <row r="26" spans="1:11" ht="41.1" customHeight="1">
      <c r="A26" s="3" t="s">
        <v>127</v>
      </c>
      <c r="B26" s="3" t="s">
        <v>128</v>
      </c>
      <c r="C26" s="3" t="s">
        <v>129</v>
      </c>
      <c r="D26" s="3" t="s">
        <v>40</v>
      </c>
      <c r="E26" s="3" t="s">
        <v>130</v>
      </c>
      <c r="F26" s="3" t="s">
        <v>131</v>
      </c>
      <c r="G26" s="5">
        <f>50</f>
        <v>50</v>
      </c>
      <c r="H26" s="4" t="s">
        <v>21</v>
      </c>
      <c r="I26" s="6"/>
      <c r="J26" s="7"/>
      <c r="K26" s="5" t="s">
        <v>132</v>
      </c>
    </row>
    <row r="27" spans="1:11" ht="41.1" customHeight="1">
      <c r="A27" s="8" t="s">
        <v>133</v>
      </c>
      <c r="B27" s="8" t="s">
        <v>134</v>
      </c>
      <c r="C27" s="8" t="s">
        <v>135</v>
      </c>
      <c r="D27" s="8" t="s">
        <v>136</v>
      </c>
      <c r="E27" s="8" t="s">
        <v>137</v>
      </c>
      <c r="F27" s="8" t="s">
        <v>138</v>
      </c>
      <c r="G27" s="5">
        <f>5+1</f>
        <v>6</v>
      </c>
      <c r="H27" s="9" t="s">
        <v>21</v>
      </c>
      <c r="I27" s="6"/>
      <c r="J27" s="7"/>
      <c r="K27" s="5" t="s">
        <v>139</v>
      </c>
    </row>
    <row r="28" spans="1:11" ht="41.1" customHeight="1">
      <c r="A28" s="3" t="s">
        <v>140</v>
      </c>
      <c r="B28" s="3" t="s">
        <v>141</v>
      </c>
      <c r="C28" s="3" t="s">
        <v>142</v>
      </c>
      <c r="D28" s="3" t="s">
        <v>40</v>
      </c>
      <c r="E28" s="3" t="s">
        <v>143</v>
      </c>
      <c r="F28" s="3" t="s">
        <v>144</v>
      </c>
      <c r="G28" s="5">
        <f>1984*2</f>
        <v>3968</v>
      </c>
      <c r="H28" s="4" t="s">
        <v>21</v>
      </c>
      <c r="I28" s="6"/>
      <c r="J28" s="7"/>
      <c r="K28" s="5" t="s">
        <v>145</v>
      </c>
    </row>
    <row r="29" spans="1:11" ht="41.1" customHeight="1">
      <c r="A29" s="8" t="s">
        <v>146</v>
      </c>
      <c r="B29" s="8" t="s">
        <v>72</v>
      </c>
      <c r="C29" s="8" t="s">
        <v>147</v>
      </c>
      <c r="D29" s="8" t="s">
        <v>136</v>
      </c>
      <c r="E29" s="8" t="s">
        <v>148</v>
      </c>
      <c r="F29" s="8" t="s">
        <v>11</v>
      </c>
      <c r="G29" s="5">
        <f>0</f>
        <v>0</v>
      </c>
      <c r="H29" s="9" t="s">
        <v>21</v>
      </c>
      <c r="I29" s="6"/>
      <c r="J29" s="7"/>
      <c r="K29" s="5" t="s">
        <v>149</v>
      </c>
    </row>
    <row r="30" spans="1:11" ht="41.1" customHeight="1">
      <c r="A30" s="3" t="s">
        <v>150</v>
      </c>
      <c r="B30" s="3" t="s">
        <v>72</v>
      </c>
      <c r="C30" s="3" t="s">
        <v>151</v>
      </c>
      <c r="D30" s="3" t="s">
        <v>136</v>
      </c>
      <c r="E30" s="3" t="s">
        <v>148</v>
      </c>
      <c r="F30" s="3" t="s">
        <v>11</v>
      </c>
      <c r="G30" s="5">
        <f>0</f>
        <v>0</v>
      </c>
      <c r="H30" s="4" t="s">
        <v>21</v>
      </c>
      <c r="I30" s="6"/>
      <c r="J30" s="7"/>
      <c r="K30" s="5" t="s">
        <v>152</v>
      </c>
    </row>
    <row r="31" spans="1:11" ht="41.1" customHeight="1">
      <c r="A31" s="8"/>
      <c r="B31" s="8"/>
      <c r="C31" s="8"/>
      <c r="D31" s="8"/>
      <c r="E31" s="8"/>
      <c r="F31" s="8"/>
      <c r="G31" s="5"/>
      <c r="H31" s="9"/>
      <c r="I31" s="6"/>
      <c r="J31" s="7"/>
      <c r="K31" s="5"/>
    </row>
    <row r="32" spans="1:11" ht="41.1" customHeight="1">
      <c r="A32" s="3"/>
      <c r="B32" s="3"/>
      <c r="C32" s="3"/>
      <c r="D32" s="3"/>
      <c r="E32" s="3"/>
      <c r="F32" s="3"/>
      <c r="G32" s="5"/>
      <c r="H32" s="4"/>
      <c r="I32" s="6"/>
      <c r="J32" s="7"/>
      <c r="K32" s="5"/>
    </row>
    <row r="33" spans="1:11" ht="41.1" customHeight="1">
      <c r="A33" s="8"/>
      <c r="B33" s="8"/>
      <c r="C33" s="8"/>
      <c r="D33" s="8"/>
      <c r="E33" s="8"/>
      <c r="F33" s="8"/>
      <c r="G33" s="5"/>
      <c r="H33" s="9"/>
      <c r="I33" s="6"/>
      <c r="J33" s="7"/>
      <c r="K33" s="5"/>
    </row>
    <row r="34" spans="1:11" ht="41.1" customHeight="1">
      <c r="A34" s="3"/>
      <c r="B34" s="3"/>
      <c r="C34" s="3"/>
      <c r="D34" s="3"/>
      <c r="E34" s="3"/>
      <c r="F34" s="3"/>
      <c r="G34" s="5"/>
      <c r="H34" s="4"/>
      <c r="I34" s="6"/>
      <c r="J34" s="7"/>
      <c r="K34" s="5"/>
    </row>
    <row r="35" spans="1:11" ht="41.1" customHeight="1">
      <c r="A35" s="8"/>
      <c r="B35" s="8"/>
      <c r="C35" s="8"/>
      <c r="D35" s="8"/>
      <c r="E35" s="8"/>
      <c r="F35" s="8"/>
      <c r="G35" s="5"/>
      <c r="H35" s="9"/>
      <c r="I35" s="6"/>
      <c r="J35" s="7"/>
      <c r="K35" s="5"/>
    </row>
    <row r="36" spans="1:11" ht="41.1" customHeight="1">
      <c r="A36" s="3"/>
      <c r="B36" s="3"/>
      <c r="C36" s="3"/>
      <c r="D36" s="3"/>
      <c r="E36" s="3"/>
      <c r="F36" s="3"/>
      <c r="G36" s="5"/>
      <c r="H36" s="4"/>
      <c r="I36" s="6"/>
      <c r="J36" s="7"/>
      <c r="K36" s="5"/>
    </row>
    <row r="37" spans="1:11" ht="41.1" customHeight="1">
      <c r="A37" s="8"/>
      <c r="B37" s="8"/>
      <c r="C37" s="8"/>
      <c r="D37" s="8"/>
      <c r="E37" s="8"/>
      <c r="F37" s="8"/>
      <c r="G37" s="5"/>
      <c r="H37" s="9"/>
      <c r="I37" s="6"/>
      <c r="J37" s="7"/>
      <c r="K37" s="5"/>
    </row>
    <row r="38" spans="1:11" ht="41.1" customHeight="1">
      <c r="A38" s="3"/>
      <c r="B38" s="3"/>
      <c r="C38" s="3"/>
      <c r="D38" s="3"/>
      <c r="E38" s="3"/>
      <c r="F38" s="3"/>
      <c r="G38" s="5"/>
      <c r="H38" s="4"/>
      <c r="I38" s="6"/>
      <c r="J38" s="7"/>
      <c r="K38" s="5"/>
    </row>
    <row r="39" spans="1:11" ht="41.1" customHeight="1">
      <c r="A39" s="8"/>
      <c r="B39" s="8"/>
      <c r="C39" s="8"/>
      <c r="D39" s="8"/>
      <c r="E39" s="8"/>
      <c r="F39" s="8"/>
      <c r="G39" s="5"/>
      <c r="H39" s="9"/>
      <c r="I39" s="6"/>
      <c r="J39" s="7"/>
      <c r="K39" s="5"/>
    </row>
    <row r="40" spans="1:11" ht="41.1" customHeight="1">
      <c r="A40" s="3"/>
      <c r="B40" s="3"/>
      <c r="C40" s="3"/>
      <c r="D40" s="3"/>
      <c r="E40" s="3"/>
      <c r="F40" s="3"/>
      <c r="G40" s="5"/>
      <c r="H40" s="4"/>
      <c r="I40" s="6"/>
      <c r="J40" s="7"/>
      <c r="K40" s="5"/>
    </row>
    <row r="41" spans="1:11" ht="41.1" customHeight="1">
      <c r="A41" s="8"/>
      <c r="B41" s="8"/>
      <c r="C41" s="8"/>
      <c r="D41" s="8"/>
      <c r="E41" s="8"/>
      <c r="F41" s="8"/>
      <c r="G41" s="5"/>
      <c r="H41" s="9"/>
      <c r="I41" s="6"/>
      <c r="J41" s="7"/>
      <c r="K41" s="5"/>
    </row>
    <row r="42" spans="1:11">
      <c r="I42" s="2"/>
      <c r="J42" s="2"/>
    </row>
    <row r="43" spans="1:11" ht="36" customHeight="1">
      <c r="A43" s="22" t="s">
        <v>153</v>
      </c>
      <c r="B43" s="22"/>
      <c r="C43" s="22"/>
      <c r="D43" s="22"/>
      <c r="E43" s="22"/>
      <c r="F43" s="22"/>
      <c r="G43" s="22"/>
      <c r="H43" s="22"/>
      <c r="I43" s="23"/>
      <c r="J43" s="10"/>
    </row>
    <row r="45" spans="1:11" ht="30" customHeight="1">
      <c r="A45" s="24" t="s">
        <v>154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42" customHeight="1">
      <c r="A46" s="20" t="s">
        <v>155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42" customHeight="1">
      <c r="A47" s="18" t="s">
        <v>156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42" customHeight="1">
      <c r="A48" s="20" t="s">
        <v>157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42" customHeight="1">
      <c r="A49" s="18" t="s">
        <v>158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42" customHeight="1">
      <c r="A50" s="20" t="s">
        <v>159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42" customHeight="1">
      <c r="A51" s="18" t="s">
        <v>160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</sheetData>
  <mergeCells count="8">
    <mergeCell ref="A43:I43"/>
    <mergeCell ref="A45:K45"/>
    <mergeCell ref="A51:K51"/>
    <mergeCell ref="A46:K46"/>
    <mergeCell ref="A47:K47"/>
    <mergeCell ref="A48:K48"/>
    <mergeCell ref="A49:K49"/>
    <mergeCell ref="A50:K5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25DE-95CC-4D5D-90CF-7989205F5E13}">
  <dimension ref="A1:B41"/>
  <sheetViews>
    <sheetView workbookViewId="0">
      <selection activeCell="A2" sqref="A2:B41"/>
    </sheetView>
  </sheetViews>
  <sheetFormatPr baseColWidth="10" defaultRowHeight="14.25"/>
  <cols>
    <col min="1" max="1" width="14.375" customWidth="1"/>
  </cols>
  <sheetData>
    <row r="1" spans="1:2" ht="15">
      <c r="A1" s="12" t="s">
        <v>15</v>
      </c>
      <c r="B1" s="13" t="s">
        <v>6</v>
      </c>
    </row>
    <row r="2" spans="1:2" ht="71.25">
      <c r="A2" s="14" t="s">
        <v>161</v>
      </c>
      <c r="B2" s="15">
        <f>1</f>
        <v>1</v>
      </c>
    </row>
    <row r="3" spans="1:2" ht="57">
      <c r="A3" s="16" t="s">
        <v>162</v>
      </c>
      <c r="B3" s="17">
        <f>2</f>
        <v>2</v>
      </c>
    </row>
    <row r="4" spans="1:2" ht="71.25">
      <c r="A4" s="14" t="s">
        <v>163</v>
      </c>
      <c r="B4" s="15">
        <f>2</f>
        <v>2</v>
      </c>
    </row>
    <row r="5" spans="1:2" ht="71.25">
      <c r="A5" s="16" t="s">
        <v>164</v>
      </c>
      <c r="B5" s="17">
        <f>2</f>
        <v>2</v>
      </c>
    </row>
    <row r="6" spans="1:2" ht="71.25">
      <c r="A6" s="14" t="s">
        <v>165</v>
      </c>
      <c r="B6" s="15">
        <f>1</f>
        <v>1</v>
      </c>
    </row>
    <row r="7" spans="1:2" ht="71.25">
      <c r="A7" s="16" t="s">
        <v>166</v>
      </c>
      <c r="B7" s="17">
        <f>1</f>
        <v>1</v>
      </c>
    </row>
    <row r="8" spans="1:2" ht="57">
      <c r="A8" s="14" t="s">
        <v>167</v>
      </c>
      <c r="B8" s="15">
        <f>1</f>
        <v>1</v>
      </c>
    </row>
    <row r="9" spans="1:2" ht="85.5">
      <c r="A9" s="16" t="s">
        <v>168</v>
      </c>
      <c r="B9" s="17">
        <f>1</f>
        <v>1</v>
      </c>
    </row>
    <row r="10" spans="1:2" ht="99.75">
      <c r="A10" s="14" t="s">
        <v>169</v>
      </c>
      <c r="B10" s="15">
        <f>1</f>
        <v>1</v>
      </c>
    </row>
    <row r="11" spans="1:2" ht="71.25">
      <c r="A11" s="16" t="s">
        <v>170</v>
      </c>
      <c r="B11" s="17">
        <f>1</f>
        <v>1</v>
      </c>
    </row>
    <row r="12" spans="1:2" ht="57">
      <c r="A12" s="14" t="s">
        <v>171</v>
      </c>
      <c r="B12" s="15">
        <f>1</f>
        <v>1</v>
      </c>
    </row>
    <row r="13" spans="1:2" ht="99.75">
      <c r="A13" s="16" t="s">
        <v>172</v>
      </c>
      <c r="B13" s="17" t="s">
        <v>173</v>
      </c>
    </row>
    <row r="14" spans="1:2">
      <c r="A14" s="14"/>
      <c r="B14" s="15"/>
    </row>
    <row r="15" spans="1:2">
      <c r="A15" s="16"/>
      <c r="B15" s="17"/>
    </row>
    <row r="16" spans="1:2">
      <c r="A16" s="14"/>
      <c r="B16" s="15"/>
    </row>
    <row r="17" spans="1:2">
      <c r="A17" s="16"/>
      <c r="B17" s="17"/>
    </row>
    <row r="18" spans="1:2">
      <c r="A18" s="14"/>
      <c r="B18" s="15"/>
    </row>
    <row r="19" spans="1:2">
      <c r="A19" s="16"/>
      <c r="B19" s="17"/>
    </row>
    <row r="20" spans="1:2">
      <c r="A20" s="14"/>
      <c r="B20" s="15"/>
    </row>
    <row r="21" spans="1:2">
      <c r="A21" s="16"/>
      <c r="B21" s="17"/>
    </row>
    <row r="22" spans="1:2">
      <c r="A22" s="14"/>
      <c r="B22" s="15"/>
    </row>
    <row r="23" spans="1:2">
      <c r="A23" s="16"/>
      <c r="B23" s="17"/>
    </row>
    <row r="24" spans="1:2">
      <c r="A24" s="14"/>
      <c r="B24" s="15"/>
    </row>
    <row r="25" spans="1:2">
      <c r="A25" s="16"/>
      <c r="B25" s="17"/>
    </row>
    <row r="26" spans="1:2">
      <c r="A26" s="14"/>
      <c r="B26" s="15"/>
    </row>
    <row r="27" spans="1:2">
      <c r="A27" s="16"/>
      <c r="B27" s="17"/>
    </row>
    <row r="28" spans="1:2">
      <c r="A28" s="14"/>
      <c r="B28" s="15"/>
    </row>
    <row r="29" spans="1:2">
      <c r="A29" s="16"/>
      <c r="B29" s="17"/>
    </row>
    <row r="30" spans="1:2">
      <c r="A30" s="14"/>
      <c r="B30" s="15"/>
    </row>
    <row r="31" spans="1:2">
      <c r="A31" s="16"/>
      <c r="B31" s="17"/>
    </row>
    <row r="32" spans="1:2">
      <c r="A32" s="14"/>
      <c r="B32" s="15"/>
    </row>
    <row r="33" spans="1:2">
      <c r="A33" s="16"/>
      <c r="B33" s="17"/>
    </row>
    <row r="34" spans="1:2">
      <c r="A34" s="14"/>
      <c r="B34" s="15"/>
    </row>
    <row r="35" spans="1:2">
      <c r="A35" s="16"/>
      <c r="B35" s="17"/>
    </row>
    <row r="36" spans="1:2">
      <c r="A36" s="14"/>
      <c r="B36" s="15"/>
    </row>
    <row r="37" spans="1:2">
      <c r="A37" s="16"/>
      <c r="B37" s="17"/>
    </row>
    <row r="38" spans="1:2">
      <c r="A38" s="14"/>
      <c r="B38" s="15"/>
    </row>
    <row r="39" spans="1:2">
      <c r="A39" s="16"/>
      <c r="B39" s="17"/>
    </row>
    <row r="40" spans="1:2">
      <c r="A40" s="14"/>
      <c r="B40" s="15"/>
    </row>
    <row r="41" spans="1:2">
      <c r="A41" s="16"/>
      <c r="B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Cotización técnica</vt:lpstr>
      <vt:lpstr>Herramientas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Mateo Cerdas</cp:lastModifiedBy>
  <dcterms:created xsi:type="dcterms:W3CDTF">2026-10-14T00:08:42Z</dcterms:created>
  <dcterms:modified xsi:type="dcterms:W3CDTF">2026-10-26T00:31:52Z</dcterms:modified>
</cp:coreProperties>
</file>